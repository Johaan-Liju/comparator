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DY Uppar - Defender\"/>
    </mc:Choice>
  </mc:AlternateContent>
  <xr:revisionPtr revIDLastSave="0" documentId="13_ncr:1_{3E57F59D-14B1-453D-9E3F-C94AA9DDFD84}" xr6:coauthVersionLast="47" xr6:coauthVersionMax="47" xr10:uidLastSave="{00000000-0000-0000-0000-000000000000}"/>
  <bookViews>
    <workbookView xWindow="8916" yWindow="516" windowWidth="17148" windowHeight="12060" xr2:uid="{DDEEAF36-5A26-4467-A632-38A8FCDE01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l="1"/>
  <c r="C16" i="1" s="1"/>
  <c r="B15" i="1"/>
  <c r="B16" i="1" s="1"/>
  <c r="D14" i="1"/>
  <c r="D15" i="1" l="1"/>
  <c r="D16" i="1" s="1"/>
</calcChain>
</file>

<file path=xl/sharedStrings.xml><?xml version="1.0" encoding="utf-8"?>
<sst xmlns="http://schemas.openxmlformats.org/spreadsheetml/2006/main" count="118" uniqueCount="80">
  <si>
    <t>Bajaj Allianz</t>
  </si>
  <si>
    <t>Chola</t>
  </si>
  <si>
    <t>GoDigit</t>
  </si>
  <si>
    <t>IFFCO Tokio</t>
  </si>
  <si>
    <t>ICICI Lombard</t>
  </si>
  <si>
    <t>Magma</t>
  </si>
  <si>
    <t>National</t>
  </si>
  <si>
    <t>New India</t>
  </si>
  <si>
    <t>Oriental</t>
  </si>
  <si>
    <t>Royal Sundaram</t>
  </si>
  <si>
    <t>SBI</t>
  </si>
  <si>
    <t>Shriram</t>
  </si>
  <si>
    <t>Zuno</t>
  </si>
  <si>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</si>
  <si>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</si>
  <si>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</si>
  <si>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</si>
  <si>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</si>
  <si>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</si>
  <si>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</si>
  <si>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</si>
  <si>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</si>
  <si>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</si>
  <si>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</si>
  <si>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</si>
  <si>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</si>
  <si>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</si>
  <si>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</si>
  <si>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</si>
  <si>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</si>
  <si>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</si>
  <si>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</si>
  <si>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</si>
  <si>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</si>
  <si>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</si>
  <si>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</si>
  <si>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</si>
  <si>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>Net Premium:</t>
  </si>
  <si>
    <t>GST:</t>
  </si>
  <si>
    <t xml:space="preserve">Total Premium Payable: </t>
  </si>
  <si>
    <t>ADD-ONS:</t>
  </si>
  <si>
    <t>Nil depreciation:</t>
  </si>
  <si>
    <t>Consumables cover:</t>
  </si>
  <si>
    <t>Engine protect:</t>
  </si>
  <si>
    <t>Road Side Assistance:</t>
  </si>
  <si>
    <t>Personal belongings cover:</t>
  </si>
  <si>
    <t>Own Damage Premium:</t>
  </si>
  <si>
    <t>Liability Premium:</t>
  </si>
  <si>
    <t>(OLD POLICY)</t>
  </si>
  <si>
    <t>(OLD POLICY) - Bajaj Allianz</t>
  </si>
  <si>
    <t>Tata AIG</t>
  </si>
  <si>
    <t>(OLD POLICY) - Chola</t>
  </si>
  <si>
    <t>(OLD POLICY) - GoDigit</t>
  </si>
  <si>
    <t>(OLD POLICY) - HDFC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</si>
  <si>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</si>
  <si>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</si>
  <si>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</si>
  <si>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</si>
  <si>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</si>
  <si>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</si>
  <si>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</si>
  <si>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</si>
  <si>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</si>
  <si>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</si>
  <si>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</si>
  <si>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DEFENDER / 3.0 90 X BSVI</t>
  </si>
  <si>
    <t>VIJAYKUMAR D BANDI</t>
  </si>
  <si>
    <t>KA04NE7555</t>
  </si>
  <si>
    <t>Yes</t>
  </si>
  <si>
    <t>Return to Invoice:</t>
  </si>
  <si>
    <t>Key and Lock protect:</t>
  </si>
  <si>
    <t>Own Damage Only</t>
  </si>
  <si>
    <t>Tyre Protect:</t>
  </si>
  <si>
    <t>No</t>
  </si>
  <si>
    <t>EV Shield:</t>
  </si>
  <si>
    <t>Reliance</t>
  </si>
  <si>
    <t xml:space="preserve"> 31-Oct-2025</t>
  </si>
  <si>
    <t>No Claim Bonus (NCB):</t>
  </si>
  <si>
    <t>HDFC ERGO</t>
  </si>
  <si>
    <t>NCB Protection: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</si>
</sst>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0" fillId="0" borderId="0" xfId="0" applyNumberFormat="1"/>
    <xf numFmtId="9" fontId="2" fillId="0" borderId="1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2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19" totalsRowShown="0" headerRowDxfId="4">
  <autoFilter ref="B2:B19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3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2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A2:E27"/>
  <sheetViews>
    <sheetView tabSelected="1" topLeftCell="A6" workbookViewId="0">
      <pane xSplit="1" topLeftCell="B1" activePane="topRight" state="frozen"/>
      <selection pane="topRight" activeCell="B23" sqref="B23"/>
    </sheetView>
  </sheetViews>
  <sheetFormatPr defaultRowHeight="14.4" x14ac:dyDescent="0.3"/>
  <cols>
    <col min="1" max="1" width="36.21875" customWidth="1"/>
    <col min="2" max="3" width="35.44140625" style="11" customWidth="1"/>
    <col min="4" max="13" width="30.77734375" customWidth="1"/>
  </cols>
  <sheetData>
    <row r="2" spans="1:4" ht="18" x14ac:dyDescent="0.35">
      <c r="A2" s="9" t="s">
        <v>32</v>
      </c>
      <c r="B2" s="10" t="s">
        <v>27</v>
      </c>
      <c r="C2" s="10"/>
    </row>
    <row r="3" spans="1:4" ht="18" x14ac:dyDescent="0.35">
      <c r="A3" s="9" t="s">
        <v>28</v>
      </c>
      <c r="B3" t="s">
        <v>65</v>
      </c>
      <c r="C3"/>
    </row>
    <row r="4" spans="1:4" ht="18" x14ac:dyDescent="0.35">
      <c r="A4" s="9" t="s">
        <v>29</v>
      </c>
      <c r="B4" t="s">
        <v>76</v>
      </c>
      <c r="C4"/>
    </row>
    <row r="5" spans="1:4" ht="18" x14ac:dyDescent="0.35">
      <c r="A5" s="9" t="s">
        <v>30</v>
      </c>
      <c r="B5" t="s">
        <v>66</v>
      </c>
      <c r="C5"/>
    </row>
    <row r="6" spans="1:4" ht="18" x14ac:dyDescent="0.35">
      <c r="A6" s="9" t="s">
        <v>31</v>
      </c>
      <c r="B6" t="s">
        <v>67</v>
      </c>
      <c r="C6"/>
    </row>
    <row r="7" spans="1:4" ht="15.6" x14ac:dyDescent="0.3">
      <c r="A7" s="13" t="s">
        <v>33</v>
      </c>
      <c r="B7" s="22" t="s">
        <v>2</v>
      </c>
      <c r="C7" s="14" t="s">
        <v>78</v>
      </c>
      <c r="D7" s="14" t="s">
        <v>4</v>
      </c>
    </row>
    <row r="8" spans="1:4" ht="15.6" x14ac:dyDescent="0.3">
      <c r="A8" s="13" t="s">
        <v>34</v>
      </c>
      <c r="B8" s="23" t="s">
        <v>27</v>
      </c>
      <c r="C8" s="8" t="s">
        <v>27</v>
      </c>
      <c r="D8" s="8" t="s">
        <v>27</v>
      </c>
    </row>
    <row r="9" spans="1:4" ht="15.6" x14ac:dyDescent="0.3">
      <c r="A9" s="13" t="s">
        <v>35</v>
      </c>
      <c r="B9" s="24" t="s">
        <v>71</v>
      </c>
      <c r="C9" s="19" t="s">
        <v>71</v>
      </c>
      <c r="D9" s="19" t="s">
        <v>71</v>
      </c>
    </row>
    <row r="10" spans="1:4" ht="15.6" x14ac:dyDescent="0.3">
      <c r="A10" s="13" t="s">
        <v>36</v>
      </c>
      <c r="B10" s="25">
        <v>12576000</v>
      </c>
      <c r="C10" s="17">
        <v>13000000</v>
      </c>
      <c r="D10" s="17">
        <v>11500000</v>
      </c>
    </row>
    <row r="11" spans="1:4" ht="15.6" x14ac:dyDescent="0.3">
      <c r="A11" s="13" t="s">
        <v>46</v>
      </c>
      <c r="B11" s="17">
        <v>213551.26</v>
      </c>
      <c r="C11" s="17">
        <v>251297</v>
      </c>
      <c r="D11" s="17">
        <v>432008</v>
      </c>
    </row>
    <row r="12" spans="1:4" ht="15.6" x14ac:dyDescent="0.3">
      <c r="A12" s="13" t="s">
        <v>47</v>
      </c>
      <c r="B12" s="25">
        <v>0</v>
      </c>
      <c r="C12" s="17">
        <v>0</v>
      </c>
      <c r="D12" s="17">
        <v>0</v>
      </c>
    </row>
    <row r="13" spans="1:4" ht="15.6" x14ac:dyDescent="0.3">
      <c r="A13" s="13" t="s">
        <v>77</v>
      </c>
      <c r="B13" s="26">
        <v>0</v>
      </c>
      <c r="C13" s="21">
        <v>0</v>
      </c>
      <c r="D13" s="21">
        <v>0</v>
      </c>
    </row>
    <row r="14" spans="1:4" ht="15.6" x14ac:dyDescent="0.3">
      <c r="A14" s="13" t="s">
        <v>37</v>
      </c>
      <c r="B14" s="25">
        <v>176880.07</v>
      </c>
      <c r="C14" s="25">
        <f>SUM(C11:C12)</f>
        <v>251297</v>
      </c>
      <c r="D14" s="17">
        <f>SUM(D11:D12)</f>
        <v>432008</v>
      </c>
    </row>
    <row r="15" spans="1:4" ht="15.6" x14ac:dyDescent="0.3">
      <c r="A15" s="13" t="s">
        <v>38</v>
      </c>
      <c r="B15" s="27">
        <f>B14*0.18</f>
        <v>31838.4126</v>
      </c>
      <c r="C15" s="27">
        <f>C14*0.18</f>
        <v>45233.46</v>
      </c>
      <c r="D15" s="18">
        <f>D14*0.18</f>
        <v>77761.440000000002</v>
      </c>
    </row>
    <row r="16" spans="1:4" ht="18" x14ac:dyDescent="0.35">
      <c r="A16" s="13" t="s">
        <v>39</v>
      </c>
      <c r="B16" s="28">
        <f>SUM(B14:B15)</f>
        <v>208718.48260000002</v>
      </c>
      <c r="C16" s="28">
        <f>SUM(C14:C15)</f>
        <v>296530.46000000002</v>
      </c>
      <c r="D16" s="5">
        <f>SUM(D14:D15)</f>
        <v>509769.44</v>
      </c>
    </row>
    <row r="17" spans="1:5" ht="15.6" x14ac:dyDescent="0.3">
      <c r="A17" s="15" t="s">
        <v>40</v>
      </c>
      <c r="B17" s="29"/>
      <c r="C17" s="6"/>
      <c r="D17" s="6"/>
    </row>
    <row r="18" spans="1:5" x14ac:dyDescent="0.3">
      <c r="A18" s="12" t="s">
        <v>41</v>
      </c>
      <c r="B18" s="30" t="s">
        <v>68</v>
      </c>
      <c r="C18" s="16" t="s">
        <v>68</v>
      </c>
      <c r="D18" s="16" t="s">
        <v>68</v>
      </c>
    </row>
    <row r="19" spans="1:5" x14ac:dyDescent="0.3">
      <c r="A19" s="12" t="s">
        <v>42</v>
      </c>
      <c r="B19" s="31" t="s">
        <v>68</v>
      </c>
      <c r="C19" s="4" t="s">
        <v>68</v>
      </c>
      <c r="D19" s="4" t="s">
        <v>68</v>
      </c>
      <c r="E19" s="20"/>
    </row>
    <row r="20" spans="1:5" x14ac:dyDescent="0.3">
      <c r="A20" s="12" t="s">
        <v>43</v>
      </c>
      <c r="B20" s="32" t="s">
        <v>68</v>
      </c>
      <c r="C20" s="3" t="s">
        <v>68</v>
      </c>
      <c r="D20" s="3" t="s">
        <v>68</v>
      </c>
    </row>
    <row r="21" spans="1:5" x14ac:dyDescent="0.3">
      <c r="A21" s="12" t="s">
        <v>44</v>
      </c>
      <c r="B21" s="32" t="s">
        <v>68</v>
      </c>
      <c r="C21" s="3" t="s">
        <v>68</v>
      </c>
      <c r="D21" s="3" t="s">
        <v>73</v>
      </c>
    </row>
    <row r="22" spans="1:5" x14ac:dyDescent="0.3">
      <c r="A22" s="12" t="s">
        <v>45</v>
      </c>
      <c r="B22" s="33" t="s">
        <v>68</v>
      </c>
      <c r="C22" s="7" t="s">
        <v>68</v>
      </c>
      <c r="D22" s="7" t="s">
        <v>68</v>
      </c>
    </row>
    <row r="23" spans="1:5" x14ac:dyDescent="0.3">
      <c r="A23" s="12" t="s">
        <v>70</v>
      </c>
      <c r="B23" s="29" t="s">
        <v>68</v>
      </c>
      <c r="C23" s="6" t="s">
        <v>68</v>
      </c>
      <c r="D23" s="6" t="s">
        <v>68</v>
      </c>
    </row>
    <row r="24" spans="1:5" x14ac:dyDescent="0.3">
      <c r="A24" s="12" t="s">
        <v>69</v>
      </c>
      <c r="B24" s="32" t="s">
        <v>68</v>
      </c>
      <c r="C24" s="3" t="s">
        <v>73</v>
      </c>
      <c r="D24" s="3" t="s">
        <v>68</v>
      </c>
    </row>
    <row r="25" spans="1:5" x14ac:dyDescent="0.3">
      <c r="A25" s="12" t="s">
        <v>72</v>
      </c>
      <c r="B25" s="32" t="s">
        <v>68</v>
      </c>
      <c r="C25" s="3" t="s">
        <v>68</v>
      </c>
      <c r="D25" s="3" t="s">
        <v>68</v>
      </c>
    </row>
    <row r="26" spans="1:5" x14ac:dyDescent="0.3">
      <c r="A26" s="12" t="s">
        <v>74</v>
      </c>
      <c r="B26" s="34" t="s">
        <v>73</v>
      </c>
      <c r="C26" s="34" t="s">
        <v>73</v>
      </c>
      <c r="D26" s="3" t="s">
        <v>73</v>
      </c>
    </row>
    <row r="27" spans="1:5" x14ac:dyDescent="0.3">
      <c r="A27" s="12" t="s">
        <v>79</v>
      </c>
      <c r="B27" s="34" t="s">
        <v>73</v>
      </c>
      <c r="C27" s="34" t="s">
        <v>68</v>
      </c>
      <c r="D27" s="3" t="s">
        <v>73</v>
      </c>
    </row>
  </sheetData>
  <conditionalFormatting sqref="B18:D27">
    <cfRule type="containsText" dxfId="1" priority="1" operator="containsText" text="Yes">
      <formula>NOT(ISERROR(SEARCH("Yes",B18)))</formula>
    </cfRule>
    <cfRule type="containsText" dxfId="0" priority="2" operator="containsText" text="No">
      <formula>NOT(ISERROR(SEARCH("No",B18)))</formula>
    </cfRule>
  </conditionalFormatting>
  <dataValidations count="2">
    <dataValidation type="list" showInputMessage="1" showErrorMessage="1" sqref="B9:D9" xr:uid="{EACF67E4-2E6A-452F-8CAB-EA6DE8C6FB68}">
      <formula1>"Comprehensive (Own Damage + Third Party Liability), Own Damage Only, Third Party Liability Only"</formula1>
    </dataValidation>
    <dataValidation type="list" showInputMessage="1" showErrorMessage="1" sqref="B18:C25 D18:D27" xr:uid="{EA845F20-61DF-46A3-993B-8CF78F3B19A8}">
      <formula1>" , Yes, 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145DE6E-22DE-45DF-9815-0C13F775A20E}">
          <x14:formula1>
            <xm:f>Sheet2!$B$3:$B$18</xm:f>
          </x14:formula1>
          <xm:sqref>B7:D7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19"/>
  <sheetViews>
    <sheetView workbookViewId="0">
      <selection activeCell="C18" sqref="C18"/>
    </sheetView>
  </sheetViews>
  <sheetFormatPr defaultRowHeight="14.4" x14ac:dyDescent="0.3"/>
  <cols>
    <col min="2" max="2" width="29" customWidth="1"/>
    <col min="3" max="3" width="41.33203125" customWidth="1"/>
    <col min="5" max="5" width="29.88671875" customWidth="1"/>
  </cols>
  <sheetData>
    <row r="2" spans="2:5" ht="15.6" x14ac:dyDescent="0.3">
      <c r="B2" s="1" t="s">
        <v>13</v>
      </c>
      <c r="C2" s="2" t="s">
        <v>15</v>
      </c>
      <c r="E2" s="1" t="s">
        <v>13</v>
      </c>
    </row>
    <row r="3" spans="2:5" x14ac:dyDescent="0.3">
      <c r="B3" t="s">
        <v>14</v>
      </c>
      <c r="E3" t="s">
        <v>48</v>
      </c>
    </row>
    <row r="4" spans="2:5" x14ac:dyDescent="0.3">
      <c r="B4" t="s">
        <v>0</v>
      </c>
      <c r="C4" t="s">
        <v>16</v>
      </c>
      <c r="E4" t="s">
        <v>49</v>
      </c>
    </row>
    <row r="5" spans="2:5" x14ac:dyDescent="0.3">
      <c r="B5" t="s">
        <v>1</v>
      </c>
      <c r="C5" t="s">
        <v>17</v>
      </c>
      <c r="E5" t="s">
        <v>51</v>
      </c>
    </row>
    <row r="6" spans="2:5" x14ac:dyDescent="0.3">
      <c r="B6" t="s">
        <v>2</v>
      </c>
      <c r="C6" t="s">
        <v>18</v>
      </c>
      <c r="E6" t="s">
        <v>52</v>
      </c>
    </row>
    <row r="7" spans="2:5" x14ac:dyDescent="0.3">
      <c r="B7" t="s">
        <v>78</v>
      </c>
      <c r="C7" t="s">
        <v>19</v>
      </c>
      <c r="E7" t="s">
        <v>53</v>
      </c>
    </row>
    <row r="8" spans="2:5" x14ac:dyDescent="0.3">
      <c r="B8" t="s">
        <v>3</v>
      </c>
      <c r="C8" t="s">
        <v>20</v>
      </c>
      <c r="E8" t="s">
        <v>54</v>
      </c>
    </row>
    <row r="9" spans="2:5" x14ac:dyDescent="0.3">
      <c r="B9" t="s">
        <v>4</v>
      </c>
      <c r="C9" t="s">
        <v>21</v>
      </c>
      <c r="E9" t="s">
        <v>55</v>
      </c>
    </row>
    <row r="10" spans="2:5" x14ac:dyDescent="0.3">
      <c r="B10" t="s">
        <v>5</v>
      </c>
      <c r="C10" t="s">
        <v>22</v>
      </c>
      <c r="E10" t="s">
        <v>56</v>
      </c>
    </row>
    <row r="11" spans="2:5" x14ac:dyDescent="0.3">
      <c r="B11" t="s">
        <v>6</v>
      </c>
      <c r="C11" t="s">
        <v>23</v>
      </c>
      <c r="E11" t="s">
        <v>57</v>
      </c>
    </row>
    <row r="12" spans="2:5" x14ac:dyDescent="0.3">
      <c r="B12" t="s">
        <v>7</v>
      </c>
      <c r="C12" t="s">
        <v>24</v>
      </c>
      <c r="E12" t="s">
        <v>58</v>
      </c>
    </row>
    <row r="13" spans="2:5" x14ac:dyDescent="0.3">
      <c r="B13" t="s">
        <v>8</v>
      </c>
      <c r="C13" t="s">
        <v>25</v>
      </c>
      <c r="E13" t="s">
        <v>59</v>
      </c>
    </row>
    <row r="14" spans="2:5" x14ac:dyDescent="0.3">
      <c r="B14" t="s">
        <v>9</v>
      </c>
      <c r="C14" t="s">
        <v>26</v>
      </c>
      <c r="E14" t="s">
        <v>60</v>
      </c>
    </row>
    <row r="15" spans="2:5" x14ac:dyDescent="0.3">
      <c r="B15" t="s">
        <v>10</v>
      </c>
      <c r="E15" t="s">
        <v>61</v>
      </c>
    </row>
    <row r="16" spans="2:5" x14ac:dyDescent="0.3">
      <c r="B16" t="s">
        <v>11</v>
      </c>
      <c r="E16" t="s">
        <v>62</v>
      </c>
    </row>
    <row r="17" spans="2:5" x14ac:dyDescent="0.3">
      <c r="B17" t="s">
        <v>50</v>
      </c>
      <c r="E17" t="s">
        <v>63</v>
      </c>
    </row>
    <row r="18" spans="2:5" x14ac:dyDescent="0.3">
      <c r="B18" t="s">
        <v>12</v>
      </c>
      <c r="E18" t="s">
        <v>64</v>
      </c>
    </row>
    <row r="19" spans="2:5" x14ac:dyDescent="0.3">
      <c r="B19" t="s">
        <v>75</v>
      </c>
      <c r="E19" t="s">
        <v>64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nemcoverisks@hotmail.com</cp:lastModifiedBy>
  <dcterms:created xsi:type="dcterms:W3CDTF">2025-08-19T05:57:43Z</dcterms:created>
  <dcterms:modified xsi:type="dcterms:W3CDTF">2025-10-27T10:13:27Z</dcterms:modified>
</cp:coreProperties>
</file>