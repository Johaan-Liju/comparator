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Klauz 3 Vehicles\BMW\"/>
    </mc:Choice>
  </mc:AlternateContent>
  <xr:revisionPtr revIDLastSave="0" documentId="13_ncr:1_{CBEBB429-FF35-4ECC-83E8-A0768FBA1E67}" xr6:coauthVersionLast="47" xr6:coauthVersionMax="47" xr10:uidLastSave="{00000000-0000-0000-0000-000000000000}"/>
  <bookViews>
    <workbookView xWindow="18300" yWindow="3670" windowWidth="19660" windowHeight="16660" xr2:uid="{DDEEAF36-5A26-4467-A632-38A8FCDE0193}"/>
  </bookViews>
  <sheets>
    <sheet name="Comparison" sheetId="1" r:id="rId1"/>
    <sheet name="Data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<sst xmlns="http://schemas.openxmlformats.org/spreadsheetml/2006/main" count="101" uniqueCount="59">
  <si>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</si>
  <si>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</si>
  <si>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</si>
  <si>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</si>
  <si>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</si>
  <si>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</si>
  <si>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</si>
  <si>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</si>
  <si>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</si>
  <si>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</si>
  <si>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</si>
  <si>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</si>
  <si>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</si>
  <si>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</si>
  <si>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</si>
  <si>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</si>
  <si>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</si>
  <si>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</si>
  <si>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</si>
  <si>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</si>
  <si>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</si>
  <si>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</si>
  <si>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</si>
  <si>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</si>
  <si>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>Net Premium:</t>
  </si>
  <si>
    <t>GST:</t>
  </si>
  <si>
    <t xml:space="preserve">Total Premium Payable: </t>
  </si>
  <si>
    <t>ADD-ONS:</t>
  </si>
  <si>
    <t>Key protect:</t>
  </si>
  <si>
    <t>Nil depreciation:</t>
  </si>
  <si>
    <t>Consumables cover:</t>
  </si>
  <si>
    <t>Engine protect:</t>
  </si>
  <si>
    <t>Road Side Assistance:</t>
  </si>
  <si>
    <t>Emergency transport and hotel expenses:</t>
  </si>
  <si>
    <t>Personal belongings cover:</t>
  </si>
  <si>
    <t>Emergency medical expenses:</t>
  </si>
  <si>
    <t>(OLD POLICY)</t>
  </si>
  <si>
    <t>(OLD POLICY) - Bajaj Allianz</t>
  </si>
  <si>
    <t>(OLD POLICY) - Chola</t>
  </si>
  <si>
    <t>(OLD POLICY) - GoDigit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</si>
  <si>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</si>
  <si>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</si>
  <si>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</si>
  <si>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</si>
  <si>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</si>
  <si>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</si>
  <si>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</si>
  <si>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</si>
  <si>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</si>
  <si>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</si>
  <si>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</si>
  <si>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(OLD POLICY) - HDFC Ergo</t>
  </si>
  <si>
    <t>(OLD POLICY) - Future Generali</t>
  </si>
  <si>
    <t>VIVIAN PHILIP LEWIS</t>
  </si>
  <si>
    <t>KA51MN8397</t>
  </si>
  <si>
    <t>Comprehensive (Own Damage + Third Party Liability)</t>
  </si>
  <si>
    <t>Yes</t>
  </si>
  <si>
    <t>No</t>
  </si>
  <si>
    <t>BMW X3 XDRIVE20D LUXURY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</si>
</sst>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92D2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top"/>
    </xf>
    <xf numFmtId="165" fontId="5" fillId="5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7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C92D2D"/>
      <color rgb="FFD6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  <v>GoDigit</v>
  </rv>
  <rv s="0">
    <v>1</v>
    <v>5</v>
    <v>TATA AIG</v>
  </rv>
  <rv s="0">
    <v>2</v>
    <v>5</v>
    <v>ICICI Lombard</v>
  </rv>
  <rv s="0">
    <v>3</v>
    <v>5</v>
    <v>Bajaj</v>
  </rv>
  <rv s="0">
    <v>4</v>
    <v>5</v>
    <v>Chola MS</v>
  </rv>
  <rv s="0">
    <v>5</v>
    <v>5</v>
    <v>Future Generali</v>
  </rv>
  <rv s="0">
    <v>6</v>
    <v>5</v>
    <v>HDFC Ergo</v>
  </rv>
  <rv s="0">
    <v>7</v>
    <v>5</v>
    <v>IFFKO-TOKIO</v>
  </rv>
  <rv s="0">
    <v>8</v>
    <v>5</v>
    <v>Magma HDI</v>
  </rv>
  <rv s="0">
    <v>9</v>
    <v>5</v>
    <v>National Insurance Co.</v>
  </rv>
  <rv s="0">
    <v>10</v>
    <v>5</v>
    <v>New India Assurance</v>
  </rv>
  <rv s="0">
    <v>11</v>
    <v>5</v>
    <v>Oriental</v>
  </rv>
  <rv s="0">
    <v>12</v>
    <v>5</v>
    <v>Royal Sundaram</v>
  </rv>
  <rv s="0">
    <v>13</v>
    <v>5</v>
    <v>SBI</v>
  </rv>
  <rv s="0">
    <v>14</v>
    <v>5</v>
    <v>Shriram</v>
  </rv>
  <rv s="0">
    <v>15</v>
    <v>5</v>
    <v>Zuno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19" totalsRowShown="0" headerRowDxfId="6">
  <autoFilter ref="B2:B19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5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4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B2:F23"/>
  <sheetViews>
    <sheetView tabSelected="1" topLeftCell="B1" workbookViewId="0">
      <selection activeCell="C22" sqref="C22"/>
    </sheetView>
  </sheetViews>
  <sheetFormatPr defaultRowHeight="14.5" x14ac:dyDescent="0.35"/>
  <cols>
    <col min="2" max="2" width="35.453125" style="10" customWidth="1"/>
    <col min="3" max="6" width="20.81640625" customWidth="1"/>
    <col min="7" max="14" width="30.81640625" customWidth="1"/>
  </cols>
  <sheetData>
    <row r="2" spans="2:6" ht="18.5" x14ac:dyDescent="0.45">
      <c r="B2" s="8" t="s">
        <v>19</v>
      </c>
      <c r="C2" s="9" t="s">
        <v>14</v>
      </c>
    </row>
    <row r="3" spans="2:6" ht="29" x14ac:dyDescent="0.45">
      <c r="B3" s="8" t="s">
        <v>15</v>
      </c>
      <c r="C3" s="22" t="s">
        <v>58</v>
      </c>
    </row>
    <row r="4" spans="2:6" ht="18.5" x14ac:dyDescent="0.45">
      <c r="B4" s="8" t="s">
        <v>16</v>
      </c>
      <c r="C4" s="23">
        <v>45982</v>
      </c>
    </row>
    <row r="5" spans="2:6" ht="18.5" x14ac:dyDescent="0.45">
      <c r="B5" s="8" t="s">
        <v>17</v>
      </c>
      <c r="C5" s="22" t="s">
        <v>53</v>
      </c>
    </row>
    <row r="6" spans="2:6" ht="18.5" x14ac:dyDescent="0.45">
      <c r="B6" s="8" t="s">
        <v>18</v>
      </c>
      <c r="C6" s="22" t="s">
        <v>54</v>
      </c>
    </row>
    <row r="7" spans="2:6" ht="42.65" customHeight="1" x14ac:dyDescent="0.35">
      <c r="B7" s="12" t="s">
        <v>20</v>
      </c>
      <c r="C7" s="25" t="e" vm="1">
        <v>#VALUE!</v>
      </c>
      <c r="D7" s="25" t="e" vm="2">
        <v>#VALUE!</v>
      </c>
      <c r="E7" s="25" t="e" vm="3">
        <v>#VALUE!</v>
      </c>
      <c r="F7" s="25" t="e" vm="4">
        <v>#VALUE!</v>
      </c>
    </row>
    <row r="8" spans="2:6" ht="15.5" x14ac:dyDescent="0.35">
      <c r="B8" s="12" t="s">
        <v>21</v>
      </c>
      <c r="C8" s="7" t="s">
        <v>14</v>
      </c>
      <c r="D8" s="7" t="s">
        <v>14</v>
      </c>
      <c r="E8" s="7" t="s">
        <v>14</v>
      </c>
      <c r="F8" s="7" t="s">
        <v>14</v>
      </c>
    </row>
    <row r="9" spans="2:6" ht="43.5" x14ac:dyDescent="0.35">
      <c r="B9" s="12" t="s">
        <v>22</v>
      </c>
      <c r="C9" s="14" t="s">
        <v>55</v>
      </c>
      <c r="D9" s="14" t="s">
        <v>55</v>
      </c>
      <c r="E9" s="14" t="s">
        <v>55</v>
      </c>
      <c r="F9" s="14" t="s">
        <v>55</v>
      </c>
    </row>
    <row r="10" spans="2:6" s="19" customFormat="1" ht="15.5" x14ac:dyDescent="0.35">
      <c r="B10" s="17" t="s">
        <v>23</v>
      </c>
      <c r="C10" s="18">
        <v>2826912</v>
      </c>
      <c r="D10" s="18">
        <v>2826912</v>
      </c>
      <c r="E10" s="18">
        <v>2596000</v>
      </c>
      <c r="F10" s="18">
        <v>2544221</v>
      </c>
    </row>
    <row r="11" spans="2:6" s="19" customFormat="1" ht="15.5" x14ac:dyDescent="0.35">
      <c r="B11" s="17" t="s">
        <v>24</v>
      </c>
      <c r="C11" s="18">
        <v>42952.31</v>
      </c>
      <c r="D11" s="18">
        <v>46492.92</v>
      </c>
      <c r="E11" s="18">
        <v>52641</v>
      </c>
      <c r="F11" s="18">
        <v>53674</v>
      </c>
    </row>
    <row r="12" spans="2:6" s="19" customFormat="1" ht="15.5" x14ac:dyDescent="0.35">
      <c r="B12" s="17" t="s">
        <v>25</v>
      </c>
      <c r="C12" s="20">
        <f>C11*0.18</f>
        <v>7731.4157999999989</v>
      </c>
      <c r="D12" s="20">
        <v>8445.23</v>
      </c>
      <c r="E12" s="20">
        <v>9475</v>
      </c>
      <c r="F12" s="20">
        <v>9661</v>
      </c>
    </row>
    <row r="13" spans="2:6" s="19" customFormat="1" ht="18.5" x14ac:dyDescent="0.45">
      <c r="B13" s="17" t="s">
        <v>26</v>
      </c>
      <c r="C13" s="21">
        <f>C11+C12</f>
        <v>50683.7258</v>
      </c>
      <c r="D13" s="21">
        <v>55363</v>
      </c>
      <c r="E13" s="21">
        <v>62116</v>
      </c>
      <c r="F13" s="21">
        <v>63335</v>
      </c>
    </row>
    <row r="14" spans="2:6" ht="8.4" customHeight="1" x14ac:dyDescent="0.35">
      <c r="B14" s="24" t="s">
        <v>27</v>
      </c>
      <c r="C14" s="24" t="s">
        <v>27</v>
      </c>
      <c r="D14" s="24" t="s">
        <v>27</v>
      </c>
      <c r="E14" s="24" t="s">
        <v>27</v>
      </c>
      <c r="F14" s="24" t="s">
        <v>27</v>
      </c>
    </row>
    <row r="15" spans="2:6" x14ac:dyDescent="0.35">
      <c r="B15" s="11" t="s">
        <v>29</v>
      </c>
      <c r="C15" s="13" t="s">
        <v>56</v>
      </c>
      <c r="D15" s="13" t="s">
        <v>56</v>
      </c>
      <c r="E15" s="13" t="s">
        <v>56</v>
      </c>
      <c r="F15" s="13" t="s">
        <v>56</v>
      </c>
    </row>
    <row r="16" spans="2:6" x14ac:dyDescent="0.35">
      <c r="B16" s="11" t="s">
        <v>30</v>
      </c>
      <c r="C16" s="4" t="s">
        <v>57</v>
      </c>
      <c r="D16" s="4" t="s">
        <v>57</v>
      </c>
      <c r="E16" s="4" t="s">
        <v>56</v>
      </c>
      <c r="F16" s="4" t="s">
        <v>57</v>
      </c>
    </row>
    <row r="17" spans="2:6" x14ac:dyDescent="0.35">
      <c r="B17" s="11" t="s">
        <v>31</v>
      </c>
      <c r="C17" s="3" t="s">
        <v>57</v>
      </c>
      <c r="D17" s="3" t="s">
        <v>57</v>
      </c>
      <c r="E17" s="3" t="s">
        <v>57</v>
      </c>
      <c r="F17" s="3" t="s">
        <v>57</v>
      </c>
    </row>
    <row r="18" spans="2:6" x14ac:dyDescent="0.35">
      <c r="B18" s="11" t="s">
        <v>32</v>
      </c>
      <c r="C18" s="3" t="s">
        <v>56</v>
      </c>
      <c r="D18" s="3" t="s">
        <v>56</v>
      </c>
      <c r="E18" s="3" t="s">
        <v>57</v>
      </c>
      <c r="F18" s="3" t="s">
        <v>56</v>
      </c>
    </row>
    <row r="19" spans="2:6" x14ac:dyDescent="0.35">
      <c r="B19" s="11" t="s">
        <v>33</v>
      </c>
      <c r="C19" s="5" t="s">
        <v>57</v>
      </c>
      <c r="D19" s="5" t="s">
        <v>57</v>
      </c>
      <c r="E19" s="5" t="s">
        <v>57</v>
      </c>
      <c r="F19" s="5" t="s">
        <v>57</v>
      </c>
    </row>
    <row r="20" spans="2:6" x14ac:dyDescent="0.35">
      <c r="B20" s="11" t="s">
        <v>34</v>
      </c>
      <c r="C20" s="6" t="s">
        <v>56</v>
      </c>
      <c r="D20" s="6" t="s">
        <v>57</v>
      </c>
      <c r="E20" s="6" t="s">
        <v>56</v>
      </c>
      <c r="F20" s="6" t="s">
        <v>57</v>
      </c>
    </row>
    <row r="21" spans="2:6" x14ac:dyDescent="0.35">
      <c r="B21" s="11" t="s">
        <v>28</v>
      </c>
      <c r="C21" s="5" t="s">
        <v>56</v>
      </c>
      <c r="D21" s="5" t="s">
        <v>57</v>
      </c>
      <c r="E21" s="5" t="s">
        <v>56</v>
      </c>
      <c r="F21" s="5" t="s">
        <v>57</v>
      </c>
    </row>
    <row r="22" spans="2:6" x14ac:dyDescent="0.35">
      <c r="B22" s="11" t="s">
        <v>35</v>
      </c>
      <c r="C22" s="3" t="s">
        <v>57</v>
      </c>
      <c r="D22" s="3" t="s">
        <v>57</v>
      </c>
      <c r="E22" s="3" t="s">
        <v>57</v>
      </c>
      <c r="F22" s="3" t="s">
        <v>57</v>
      </c>
    </row>
    <row r="23" spans="2:6" x14ac:dyDescent="0.35">
      <c r="B23" s="15"/>
      <c r="C23" s="16"/>
    </row>
  </sheetData>
  <conditionalFormatting sqref="A11:XFD11">
    <cfRule type="colorScale" priority="2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A12:XFD12">
    <cfRule type="colorScale" priority="1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C23">
    <cfRule type="containsText" dxfId="3" priority="12" operator="containsText" text="Yes">
      <formula>NOT(ISERROR(SEARCH("Yes",C23)))</formula>
    </cfRule>
    <cfRule type="containsText" dxfId="2" priority="13" operator="containsText" text="No">
      <formula>NOT(ISERROR(SEARCH("No",C23)))</formula>
    </cfRule>
  </conditionalFormatting>
  <conditionalFormatting sqref="C15:F22">
    <cfRule type="containsText" dxfId="1" priority="6" operator="containsText" text="Yes">
      <formula>NOT(ISERROR(SEARCH("Yes",C15)))</formula>
    </cfRule>
    <cfRule type="containsText" dxfId="0" priority="7" operator="containsText" text="No">
      <formula>NOT(ISERROR(SEARCH("No",C15)))</formula>
    </cfRule>
  </conditionalFormatting>
  <conditionalFormatting sqref="A10:XFD10">
    <cfRule type="colorScale" priority="3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A11:XFD12">
    <cfRule type="colorScale" priority="14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A13:XFD13">
    <cfRule type="colorScale" priority="5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dataValidations count="2">
    <dataValidation type="list" showInputMessage="1" showErrorMessage="1" sqref="C23 C15:F22" xr:uid="{EA845F20-61DF-46A3-993B-8CF78F3B19A8}">
      <formula1>" , Yes, No"</formula1>
    </dataValidation>
    <dataValidation type="list" showInputMessage="1" showErrorMessage="1" sqref="C9:F9" xr:uid="{EACF67E4-2E6A-452F-8CAB-EA6DE8C6FB68}">
      <formula1>"--,Comprehensive (Own Damage + Third Party Liability), Own Damage Only, Third Party Liability Only"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145DE6E-22DE-45DF-9815-0C13F775A20E}">
          <x14:formula1>
            <xm:f>'Data validation'!$B$3:$B$19</xm:f>
          </x14:formula1>
          <xm:sqref>C7:F7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19"/>
  <sheetViews>
    <sheetView workbookViewId="0">
      <selection activeCell="C14" sqref="C14"/>
    </sheetView>
  </sheetViews>
  <sheetFormatPr defaultRowHeight="14.5" x14ac:dyDescent="0.35"/>
  <cols>
    <col min="2" max="2" width="29" customWidth="1"/>
    <col min="3" max="3" width="41.36328125" customWidth="1"/>
    <col min="5" max="5" width="29.90625" customWidth="1"/>
  </cols>
  <sheetData>
    <row r="2" spans="2:5" ht="16" x14ac:dyDescent="0.4">
      <c r="B2" s="1" t="s">
        <v>0</v>
      </c>
      <c r="C2" s="2" t="s">
        <v>2</v>
      </c>
      <c r="E2" s="1" t="s">
        <v>0</v>
      </c>
    </row>
    <row r="3" spans="2:5" x14ac:dyDescent="0.35">
      <c r="B3" t="s">
        <v>1</v>
      </c>
      <c r="E3" t="s">
        <v>36</v>
      </c>
    </row>
    <row r="4" spans="2:5" x14ac:dyDescent="0.35">
      <c r="B4" t="e" vm="4">
        <v>#VALUE!</v>
      </c>
      <c r="C4" t="s">
        <v>3</v>
      </c>
      <c r="E4" t="s">
        <v>37</v>
      </c>
    </row>
    <row r="5" spans="2:5" x14ac:dyDescent="0.35">
      <c r="B5" t="e" vm="5">
        <v>#VALUE!</v>
      </c>
      <c r="C5" t="s">
        <v>4</v>
      </c>
      <c r="E5" t="s">
        <v>38</v>
      </c>
    </row>
    <row r="6" spans="2:5" x14ac:dyDescent="0.35">
      <c r="B6" s="26" t="e" vm="6">
        <v>#VALUE!</v>
      </c>
      <c r="C6" t="s">
        <v>5</v>
      </c>
      <c r="E6" t="s">
        <v>52</v>
      </c>
    </row>
    <row r="7" spans="2:5" x14ac:dyDescent="0.35">
      <c r="B7" t="e" vm="1">
        <v>#VALUE!</v>
      </c>
      <c r="C7" t="s">
        <v>6</v>
      </c>
      <c r="E7" t="s">
        <v>39</v>
      </c>
    </row>
    <row r="8" spans="2:5" x14ac:dyDescent="0.35">
      <c r="B8" t="e" vm="7">
        <v>#VALUE!</v>
      </c>
      <c r="C8" t="s">
        <v>7</v>
      </c>
      <c r="E8" t="s">
        <v>51</v>
      </c>
    </row>
    <row r="9" spans="2:5" x14ac:dyDescent="0.35">
      <c r="B9" t="e" vm="8">
        <v>#VALUE!</v>
      </c>
      <c r="C9" t="s">
        <v>8</v>
      </c>
      <c r="E9" t="s">
        <v>40</v>
      </c>
    </row>
    <row r="10" spans="2:5" x14ac:dyDescent="0.35">
      <c r="B10" t="e" vm="3">
        <v>#VALUE!</v>
      </c>
      <c r="C10" t="s">
        <v>9</v>
      </c>
      <c r="E10" t="s">
        <v>41</v>
      </c>
    </row>
    <row r="11" spans="2:5" x14ac:dyDescent="0.35">
      <c r="B11" t="e" vm="9">
        <v>#VALUE!</v>
      </c>
      <c r="C11" t="s">
        <v>10</v>
      </c>
      <c r="E11" t="s">
        <v>42</v>
      </c>
    </row>
    <row r="12" spans="2:5" x14ac:dyDescent="0.35">
      <c r="B12" t="e" vm="10">
        <v>#VALUE!</v>
      </c>
      <c r="C12" t="s">
        <v>11</v>
      </c>
      <c r="E12" t="s">
        <v>43</v>
      </c>
    </row>
    <row r="13" spans="2:5" x14ac:dyDescent="0.35">
      <c r="B13" t="e" vm="11">
        <v>#VALUE!</v>
      </c>
      <c r="C13" t="s">
        <v>12</v>
      </c>
      <c r="E13" t="s">
        <v>44</v>
      </c>
    </row>
    <row r="14" spans="2:5" x14ac:dyDescent="0.35">
      <c r="B14" t="e" vm="12">
        <v>#VALUE!</v>
      </c>
      <c r="C14" t="s">
        <v>13</v>
      </c>
      <c r="E14" t="s">
        <v>45</v>
      </c>
    </row>
    <row r="15" spans="2:5" x14ac:dyDescent="0.35">
      <c r="B15" t="e" vm="13">
        <v>#VALUE!</v>
      </c>
      <c r="E15" t="s">
        <v>46</v>
      </c>
    </row>
    <row r="16" spans="2:5" x14ac:dyDescent="0.35">
      <c r="B16" t="e" vm="14">
        <v>#VALUE!</v>
      </c>
      <c r="E16" t="s">
        <v>47</v>
      </c>
    </row>
    <row r="17" spans="2:5" x14ac:dyDescent="0.35">
      <c r="B17" t="e" vm="15">
        <v>#VALUE!</v>
      </c>
      <c r="E17" t="s">
        <v>48</v>
      </c>
    </row>
    <row r="18" spans="2:5" x14ac:dyDescent="0.35">
      <c r="B18" t="e" vm="2">
        <v>#VALUE!</v>
      </c>
      <c r="E18" t="s">
        <v>49</v>
      </c>
    </row>
    <row r="19" spans="2:5" x14ac:dyDescent="0.35">
      <c r="B19" t="e" vm="16">
        <v>#VALUE!</v>
      </c>
      <c r="E19" t="s">
        <v>50</v>
      </c>
    </row>
  </sheetData>
  <sheetProtection algorithmName="SHA-512" hashValue="3mOYrknLOk6X6vEzZqwA2twrnIi1XTSkQdaR2yItau0L3k2NCUOO3qsSPLBbjWSzPTnI6hDD5LJXUgLstBr7sA==" saltValue="TktKTLf23P5CFtA3H485Fw==" spinCount="100000" sheet="1" objects="1" scenarios="1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Naveen Mathew</cp:lastModifiedBy>
  <dcterms:created xsi:type="dcterms:W3CDTF">2025-08-19T05:57:43Z</dcterms:created>
  <dcterms:modified xsi:type="dcterms:W3CDTF">2025-11-10T11:59:07Z</dcterms:modified>
</cp:coreProperties>
</file>